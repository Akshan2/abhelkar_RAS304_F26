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5F8B1D6-2E0B-4F4F-9F64-5854E68541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 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7" i="1" l="1"/>
  <c r="G46" i="1"/>
  <c r="G45" i="1"/>
  <c r="G30" i="1"/>
  <c r="G29" i="1"/>
  <c r="G28" i="1"/>
  <c r="G31" i="1" s="1"/>
  <c r="G33" i="1" s="1"/>
  <c r="G36" i="1" s="1"/>
  <c r="G19" i="1"/>
  <c r="G18" i="1"/>
  <c r="G17" i="1"/>
  <c r="G13" i="1"/>
  <c r="G12" i="1"/>
  <c r="G11" i="1"/>
  <c r="G10" i="1"/>
  <c r="G9" i="1"/>
  <c r="G20" i="1" l="1"/>
  <c r="G22" i="1" s="1"/>
  <c r="G25" i="1" s="1"/>
  <c r="G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<sst xmlns="http://schemas.openxmlformats.org/spreadsheetml/2006/main" count="133" uniqueCount="68">
  <si>
    <t>Team Number:</t>
  </si>
  <si>
    <t>Project Name: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</si>
  <si>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</si>
  <si>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</si>
  <si>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</si>
  <si>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</si>
  <si>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 Voltage Range</t>
  </si>
  <si>
    <t>Qty.</t>
  </si>
  <si>
    <t>Absolute Maximum Current (mA)</t>
  </si>
  <si>
    <t>Total Current
(mA)</t>
  </si>
  <si>
    <t>Unit</t>
  </si>
  <si>
    <t>mA</t>
  </si>
  <si>
    <t>Supply
Voltage
Range</t>
  </si>
  <si>
    <t>Absolute
Maximum
Current (mA)</t>
  </si>
  <si>
    <t>Total
Current
(mA)</t>
  </si>
  <si>
    <t>Output Voltage</t>
  </si>
  <si>
    <t>Servo and Display Controller Power Budget</t>
  </si>
  <si>
    <t>102</t>
  </si>
  <si>
    <t>Akshan Bhelkar</t>
  </si>
  <si>
    <t>PIC18F57Q43 Curiosity Nano</t>
  </si>
  <si>
    <t>DM164150</t>
  </si>
  <si>
    <t>3.3-5.5 V board input</t>
  </si>
  <si>
    <t>2.42-inch 128x64 I2C OLED</t>
  </si>
  <si>
    <t>SSD1309 module</t>
  </si>
  <si>
    <t>3-5 V module input</t>
  </si>
  <si>
    <t>Hitec HS-485HB servo</t>
  </si>
  <si>
    <t>HS-485HB</t>
  </si>
  <si>
    <t>4.8-6.0 V</t>
  </si>
  <si>
    <t>Indicator LED</t>
  </si>
  <si>
    <t>Standard LED</t>
  </si>
  <si>
    <t>5 V rail with 330 ohm resistor</t>
  </si>
  <si>
    <t>+5V Digital Power Rail</t>
  </si>
  <si>
    <t>5 V</t>
  </si>
  <si>
    <t>2.42-inch I2C OLED</t>
  </si>
  <si>
    <t>Indicator LEDs</t>
  </si>
  <si>
    <t>Subtotal</t>
  </si>
  <si>
    <t>Safety Margin</t>
  </si>
  <si>
    <t>Total Current Required on +5V Digital Rail</t>
  </si>
  <si>
    <t>Regulator</t>
  </si>
  <si>
    <t>+5V Digital Regulator</t>
  </si>
  <si>
    <t>7-35 V input</t>
  </si>
  <si>
    <t>Total Remaining Current Available on +5V Digital Rail</t>
  </si>
  <si>
    <t>+5V Servo Power Rail</t>
  </si>
  <si>
    <t>Total Current Required on +5V Servo Rail</t>
  </si>
  <si>
    <t>+5V Servo Regulator</t>
  </si>
  <si>
    <t>Total Remaining Current Available on +5V Servo Rail</t>
  </si>
  <si>
    <t>Additional Power Rail - Not Used</t>
  </si>
  <si>
    <t>No additional regulated rail is used in this subsystem.</t>
  </si>
  <si>
    <t>External Power Source</t>
  </si>
  <si>
    <t>Power Source Selection</t>
  </si>
  <si>
    <t>9 V DC Wall Adapter</t>
  </si>
  <si>
    <t>100-240 VAC input</t>
  </si>
  <si>
    <t>9 V DC</t>
  </si>
  <si>
    <t>Power Rails Connected to External Power Source</t>
  </si>
  <si>
    <t>9 V input</t>
  </si>
  <si>
    <t>Total Remaining Current Available on External Power Source</t>
  </si>
  <si>
    <t>External Power Source 2 - Not Used</t>
  </si>
  <si>
    <t>The subsystem uses one external 9 V DC wall adapter.</t>
  </si>
  <si>
    <t>Battery Life - Not Applicable</t>
  </si>
  <si>
    <t>Name</t>
  </si>
  <si>
    <t>Modular Spider Leg</t>
  </si>
  <si>
    <t>LM7805</t>
  </si>
  <si>
    <t>T.B.D</t>
  </si>
  <si>
    <t>This subsystem is powered by a wall adapter and does not use a battery, so battery life calculations are not applicable here.</t>
  </si>
  <si>
    <t>The HS-485HB worst case stall current is 1,200 mA. With a 25% safety margin, the servo rail requires 1,500 mA, equal to the assumed LM7805 maximum rating.</t>
  </si>
  <si>
    <t>The 9 V, 2 A adapter is has extra available current of 225mA after safety margins. Leaving very little reserve but can icrease depending on the adapter used with potentialy higher amp rating.</t>
  </si>
  <si>
    <t>At a 1.2 A stall load, the servo regulator may dissipate approximately (9 V - 5 V) x 1.2 A = 4.8 W. A bigger heatsink would be required.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</si>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</sst>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alibri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i/>
      <sz val="10"/>
      <color rgb="FF000000"/>
      <name val="Arial"/>
      <family val="2"/>
    </font>
    <font>
      <b/>
      <sz val="16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EECE1"/>
      </patternFill>
    </fill>
    <fill>
      <patternFill patternType="solid">
        <fgColor rgb="FFFFFFFF"/>
      </patternFill>
    </fill>
    <fill>
      <patternFill patternType="solid">
        <fgColor theme="8" tint="0.59996337778862885"/>
        <bgColor indexed="65"/>
      </patternFill>
    </fill>
    <fill>
      <patternFill patternType="solid">
        <fgColor rgb="FFFFFFFF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4" xfId="0" applyFont="1" applyBorder="1"/>
    <xf numFmtId="0" fontId="3" fillId="0" borderId="0" xfId="0" applyFont="1" applyAlignment="1">
      <alignment horizontal="right"/>
    </xf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3" borderId="10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8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9" fontId="2" fillId="0" borderId="21" xfId="0" applyNumberFormat="1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2" xfId="0" applyFont="1" applyBorder="1" applyAlignment="1">
      <alignment horizontal="center"/>
    </xf>
    <xf numFmtId="0" fontId="5" fillId="0" borderId="21" xfId="0" applyFont="1" applyBorder="1" applyAlignment="1">
      <alignment horizontal="left" wrapText="1"/>
    </xf>
    <xf numFmtId="0" fontId="2" fillId="0" borderId="21" xfId="0" applyFont="1" applyBorder="1" applyAlignment="1">
      <alignment horizontal="left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right"/>
    </xf>
    <xf numFmtId="0" fontId="2" fillId="0" borderId="13" xfId="0" applyFont="1" applyBorder="1"/>
    <xf numFmtId="0" fontId="2" fillId="0" borderId="11" xfId="0" applyFont="1" applyBorder="1" applyAlignment="1">
      <alignment horizontal="center"/>
    </xf>
    <xf numFmtId="0" fontId="2" fillId="0" borderId="21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3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3" borderId="23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15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17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49" fontId="2" fillId="0" borderId="6" xfId="0" applyNumberFormat="1" applyFont="1" applyBorder="1" applyAlignment="1">
      <alignment horizontal="center" wrapText="1"/>
    </xf>
    <xf numFmtId="0" fontId="2" fillId="0" borderId="1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5" fillId="3" borderId="9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 applyAlignment="1">
      <alignment horizontal="center" wrapText="1"/>
    </xf>
    <xf numFmtId="0" fontId="2" fillId="0" borderId="21" xfId="0" applyFont="1" applyBorder="1" applyAlignment="1">
      <alignment wrapText="1"/>
    </xf>
    <xf numFmtId="0" fontId="2" fillId="0" borderId="21" xfId="0" applyFont="1" applyBorder="1" applyAlignment="1">
      <alignment horizontal="center" wrapText="1"/>
    </xf>
    <xf numFmtId="0" fontId="5" fillId="3" borderId="10" xfId="0" applyFont="1" applyFill="1" applyBorder="1" applyAlignment="1">
      <alignment vertical="center" wrapText="1"/>
    </xf>
    <xf numFmtId="9" fontId="2" fillId="0" borderId="21" xfId="0" applyNumberFormat="1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1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49" fontId="5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3" borderId="22" xfId="0" applyFont="1" applyFill="1" applyBorder="1" applyAlignment="1">
      <alignment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26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2" fillId="0" borderId="6" xfId="0" applyFont="1" applyBorder="1" applyAlignment="1">
      <alignment horizontal="left" wrapText="1"/>
    </xf>
    <xf numFmtId="0" fontId="2" fillId="0" borderId="21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wrapText="1"/>
    </xf>
    <xf numFmtId="0" fontId="2" fillId="0" borderId="33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5" xfId="0" applyFont="1" applyBorder="1" applyAlignment="1">
      <alignment horizontal="center" wrapText="1"/>
    </xf>
    <xf numFmtId="0" fontId="5" fillId="2" borderId="15" xfId="0" applyFont="1" applyFill="1" applyBorder="1" applyAlignment="1">
      <alignment horizontal="center" wrapText="1"/>
    </xf>
    <xf numFmtId="0" fontId="5" fillId="2" borderId="16" xfId="0" applyFont="1" applyFill="1" applyBorder="1" applyAlignment="1">
      <alignment horizontal="center" wrapText="1"/>
    </xf>
    <xf numFmtId="0" fontId="3" fillId="3" borderId="17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2" fillId="0" borderId="21" xfId="0" applyFont="1" applyBorder="1" applyAlignment="1">
      <alignment horizontal="center" wrapText="1"/>
    </xf>
    <xf numFmtId="0" fontId="2" fillId="0" borderId="28" xfId="0" applyFont="1" applyBorder="1" applyAlignment="1">
      <alignment horizontal="center" wrapText="1"/>
    </xf>
    <xf numFmtId="0" fontId="2" fillId="0" borderId="29" xfId="0" applyFont="1" applyBorder="1" applyAlignment="1">
      <alignment wrapText="1"/>
    </xf>
    <xf numFmtId="0" fontId="2" fillId="0" borderId="30" xfId="0" applyFont="1" applyBorder="1" applyAlignment="1">
      <alignment wrapText="1"/>
    </xf>
    <xf numFmtId="0" fontId="2" fillId="0" borderId="30" xfId="0" applyFont="1" applyBorder="1" applyAlignment="1">
      <alignment horizontal="center" wrapText="1"/>
    </xf>
    <xf numFmtId="0" fontId="5" fillId="0" borderId="30" xfId="0" applyFont="1" applyBorder="1" applyAlignment="1">
      <alignment horizontal="center" wrapText="1"/>
    </xf>
    <xf numFmtId="0" fontId="2" fillId="0" borderId="41" xfId="0" applyFont="1" applyBorder="1" applyAlignment="1">
      <alignment horizontal="center" wrapText="1"/>
    </xf>
    <xf numFmtId="0" fontId="2" fillId="0" borderId="42" xfId="0" applyFont="1" applyBorder="1" applyAlignment="1">
      <alignment horizontal="center" wrapText="1"/>
    </xf>
    <xf numFmtId="0" fontId="6" fillId="5" borderId="0" xfId="0" applyFont="1" applyFill="1" applyAlignment="1">
      <alignment horizontal="center"/>
    </xf>
    <xf numFmtId="0" fontId="6" fillId="5" borderId="0" xfId="0" applyFont="1" applyFill="1"/>
    <xf numFmtId="0" fontId="5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7" xfId="0" applyFont="1" applyBorder="1"/>
    <xf numFmtId="0" fontId="5" fillId="3" borderId="22" xfId="0" applyFont="1" applyFill="1" applyBorder="1" applyAlignment="1">
      <alignment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8" xfId="0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0" fontId="2" fillId="6" borderId="1" xfId="0" applyFont="1" applyFill="1" applyBorder="1" applyAlignment="1">
      <alignment vertical="center" wrapText="1"/>
    </xf>
    <xf numFmtId="0" fontId="2" fillId="6" borderId="43" xfId="0" applyFont="1" applyFill="1" applyBorder="1" applyAlignment="1">
      <alignment vertical="center" wrapText="1"/>
    </xf>
    <xf numFmtId="0" fontId="2" fillId="6" borderId="43" xfId="0" applyFont="1" applyFill="1" applyBorder="1" applyAlignment="1">
      <alignment horizontal="center" vertical="center" wrapText="1"/>
    </xf>
    <xf numFmtId="0" fontId="2" fillId="6" borderId="44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39" xfId="0" applyFont="1" applyBorder="1" applyAlignment="1">
      <alignment wrapText="1"/>
    </xf>
    <xf numFmtId="0" fontId="2" fillId="4" borderId="29" xfId="0" applyFont="1" applyFill="1" applyBorder="1" applyAlignment="1">
      <alignment horizontal="left" wrapText="1"/>
    </xf>
    <xf numFmtId="0" fontId="2" fillId="0" borderId="40" xfId="0" applyFont="1" applyBorder="1" applyAlignment="1">
      <alignment wrapText="1"/>
    </xf>
    <xf numFmtId="0" fontId="3" fillId="0" borderId="17" xfId="0" applyFont="1" applyBorder="1" applyAlignment="1">
      <alignment horizontal="left" vertical="center" wrapText="1"/>
    </xf>
    <xf numFmtId="0" fontId="4" fillId="0" borderId="17" xfId="0" applyFont="1" applyBorder="1" applyAlignment="1">
      <alignment wrapText="1"/>
    </xf>
    <xf numFmtId="0" fontId="4" fillId="0" borderId="27" xfId="0" applyFont="1" applyBorder="1" applyAlignment="1">
      <alignment wrapText="1"/>
    </xf>
    <xf numFmtId="0" fontId="5" fillId="2" borderId="14" xfId="0" applyFont="1" applyFill="1" applyBorder="1" applyAlignment="1">
      <alignment wrapText="1"/>
    </xf>
    <xf numFmtId="0" fontId="4" fillId="0" borderId="15" xfId="0" applyFont="1" applyBorder="1" applyAlignment="1">
      <alignment wrapText="1"/>
    </xf>
    <xf numFmtId="0" fontId="5" fillId="2" borderId="36" xfId="0" applyFont="1" applyFill="1" applyBorder="1"/>
    <xf numFmtId="0" fontId="2" fillId="0" borderId="35" xfId="0" applyFont="1" applyBorder="1"/>
    <xf numFmtId="49" fontId="5" fillId="0" borderId="29" xfId="0" applyNumberFormat="1" applyFont="1" applyBorder="1" applyAlignment="1">
      <alignment horizontal="right" wrapText="1"/>
    </xf>
    <xf numFmtId="49" fontId="5" fillId="0" borderId="30" xfId="0" applyNumberFormat="1" applyFont="1" applyBorder="1" applyAlignment="1">
      <alignment horizontal="right" wrapText="1"/>
    </xf>
    <xf numFmtId="49" fontId="5" fillId="0" borderId="31" xfId="0" applyNumberFormat="1" applyFont="1" applyBorder="1" applyAlignment="1">
      <alignment horizontal="right" wrapText="1"/>
    </xf>
    <xf numFmtId="0" fontId="5" fillId="0" borderId="8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5" fillId="0" borderId="8" xfId="0" applyFont="1" applyBorder="1" applyAlignment="1">
      <alignment horizontal="right" wrapText="1"/>
    </xf>
    <xf numFmtId="0" fontId="5" fillId="0" borderId="21" xfId="0" applyFont="1" applyBorder="1" applyAlignment="1">
      <alignment horizontal="right" wrapText="1"/>
    </xf>
    <xf numFmtId="49" fontId="5" fillId="0" borderId="8" xfId="0" applyNumberFormat="1" applyFont="1" applyBorder="1" applyAlignment="1">
      <alignment horizontal="right" wrapText="1"/>
    </xf>
    <xf numFmtId="49" fontId="5" fillId="0" borderId="8" xfId="0" applyNumberFormat="1" applyFont="1" applyBorder="1" applyAlignment="1">
      <alignment horizontal="right"/>
    </xf>
    <xf numFmtId="0" fontId="4" fillId="0" borderId="8" xfId="0" applyFont="1" applyBorder="1"/>
  </cellXfs>
  <cellStyles count="1">
    <cellStyle name="Normal" xfId="0" builtinId="0"/>
  </cellStyles>
  <dxfs count="3">
    <dxf>
      <font>
        <b/>
        <color rgb="FFB91C1C"/>
      </font>
      <fill>
        <patternFill patternType="solid">
          <bgColor rgb="FFFDE2E1"/>
        </patternFill>
      </fill>
    </dxf>
    <dxf>
      <font>
        <b/>
        <color rgb="FF8A4B08"/>
      </font>
      <fill>
        <patternFill patternType="solid">
          <bgColor rgb="FFFFF4CE"/>
        </patternFill>
      </fill>
    </dxf>
    <dxf>
      <font>
        <color rgb="FF000000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914400</xdr:colOff>
      <xdr:row>36</xdr:row>
      <xdr:rowOff>137160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54BA0AF3-3412-7B1C-D683-F2305ED325B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914400</xdr:colOff>
      <xdr:row>36</xdr:row>
      <xdr:rowOff>129540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246EC6F0-0C39-D4F6-5239-63B54C0A522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A4" workbookViewId="0">
      <selection activeCell="A58" sqref="A58:F58"/>
    </sheetView>
  </sheetViews>
  <sheetFormatPr defaultColWidth="13.5" defaultRowHeight="15.6" x14ac:dyDescent="0.3"/>
  <cols>
    <col min="1" max="1" width="34" style="1" customWidth="1"/>
    <col min="2" max="2" width="31" style="1" customWidth="1"/>
    <col min="3" max="3" width="23" style="1" customWidth="1"/>
    <col min="4" max="4" width="20" style="1" customWidth="1"/>
    <col min="5" max="5" width="10" style="1" customWidth="1"/>
    <col min="6" max="6" width="18" style="2" customWidth="1"/>
    <col min="7" max="7" width="16" style="2" customWidth="1"/>
    <col min="8" max="8" width="9" style="2" customWidth="1"/>
    <col min="9" max="16384" width="13.5" style="1"/>
  </cols>
  <sheetData>
    <row r="1" spans="1:8" ht="24" customHeight="1" x14ac:dyDescent="0.4">
      <c r="A1" s="100" t="s">
        <v>16</v>
      </c>
      <c r="B1" s="101"/>
      <c r="C1" s="101"/>
      <c r="D1" s="101"/>
      <c r="E1" s="101"/>
      <c r="F1" s="101"/>
      <c r="G1" s="101"/>
      <c r="H1" s="101"/>
    </row>
    <row r="2" spans="1:8" ht="12" customHeight="1" x14ac:dyDescent="0.3">
      <c r="A2" s="4" t="s">
        <v>0</v>
      </c>
      <c r="B2" s="5" t="s">
        <v>17</v>
      </c>
      <c r="C2" s="6"/>
      <c r="D2" s="7"/>
      <c r="E2" s="7"/>
      <c r="F2" s="8"/>
      <c r="G2" s="8"/>
      <c r="H2" s="8"/>
    </row>
    <row r="3" spans="1:8" ht="12" customHeight="1" x14ac:dyDescent="0.3">
      <c r="A3" s="4" t="s">
        <v>1</v>
      </c>
      <c r="B3" s="9" t="s">
        <v>60</v>
      </c>
      <c r="C3" s="9"/>
      <c r="D3" s="7"/>
      <c r="E3" s="7"/>
      <c r="F3" s="7"/>
      <c r="G3" s="7"/>
      <c r="H3" s="7"/>
    </row>
    <row r="4" spans="1:8" ht="12" customHeight="1" x14ac:dyDescent="0.3">
      <c r="A4" s="4" t="s">
        <v>59</v>
      </c>
      <c r="B4" s="9" t="s">
        <v>18</v>
      </c>
      <c r="C4" s="9"/>
      <c r="D4" s="7"/>
      <c r="E4" s="7"/>
      <c r="F4" s="7"/>
      <c r="G4" s="7"/>
      <c r="H4" s="7"/>
    </row>
    <row r="5" spans="1:8" ht="12" customHeight="1" x14ac:dyDescent="0.3">
      <c r="A5" s="4"/>
      <c r="B5" s="9"/>
      <c r="C5" s="9"/>
      <c r="D5" s="7"/>
      <c r="E5" s="7"/>
      <c r="F5" s="7"/>
      <c r="G5" s="7"/>
      <c r="H5" s="7"/>
    </row>
    <row r="6" spans="1:8" ht="12" customHeight="1" x14ac:dyDescent="0.3">
      <c r="A6" s="9"/>
      <c r="B6" s="9"/>
      <c r="C6" s="9"/>
      <c r="D6" s="7"/>
      <c r="E6" s="7"/>
      <c r="F6" s="7"/>
      <c r="G6" s="7"/>
      <c r="H6" s="7"/>
    </row>
    <row r="7" spans="1:8" ht="12" hidden="1" customHeight="1" x14ac:dyDescent="0.3">
      <c r="A7" s="102" t="s">
        <v>2</v>
      </c>
      <c r="B7" s="103"/>
      <c r="C7" s="103"/>
      <c r="D7" s="103"/>
      <c r="E7" s="103"/>
      <c r="F7" s="103"/>
      <c r="G7" s="103"/>
      <c r="H7" s="104"/>
    </row>
    <row r="8" spans="1:8" ht="27" thickBot="1" x14ac:dyDescent="0.35">
      <c r="A8" s="34" t="s">
        <v>3</v>
      </c>
      <c r="B8" s="10" t="s">
        <v>4</v>
      </c>
      <c r="C8" s="10" t="s">
        <v>5</v>
      </c>
      <c r="D8" s="10" t="s">
        <v>6</v>
      </c>
      <c r="E8" s="10" t="s">
        <v>7</v>
      </c>
      <c r="F8" s="10" t="s">
        <v>8</v>
      </c>
      <c r="G8" s="10" t="s">
        <v>9</v>
      </c>
      <c r="H8" s="10" t="s">
        <v>10</v>
      </c>
    </row>
    <row r="9" spans="1:8" ht="25.65" customHeight="1" x14ac:dyDescent="0.3">
      <c r="A9" s="35"/>
      <c r="B9" s="36" t="s">
        <v>19</v>
      </c>
      <c r="C9" s="37" t="s">
        <v>20</v>
      </c>
      <c r="D9" s="38" t="s">
        <v>21</v>
      </c>
      <c r="E9" s="38">
        <v>1</v>
      </c>
      <c r="F9" s="38">
        <v>100</v>
      </c>
      <c r="G9" s="38">
        <f t="shared" ref="G9:G13" si="0">E9*F9</f>
        <v>100</v>
      </c>
      <c r="H9" s="39" t="s">
        <v>11</v>
      </c>
    </row>
    <row r="10" spans="1:8" ht="25.65" customHeight="1" x14ac:dyDescent="0.3">
      <c r="A10" s="35"/>
      <c r="B10" s="40" t="s">
        <v>22</v>
      </c>
      <c r="C10" s="41" t="s">
        <v>23</v>
      </c>
      <c r="D10" s="42" t="s">
        <v>24</v>
      </c>
      <c r="E10" s="42">
        <v>1</v>
      </c>
      <c r="F10" s="42">
        <v>100</v>
      </c>
      <c r="G10" s="42">
        <f t="shared" si="0"/>
        <v>100</v>
      </c>
      <c r="H10" s="43" t="s">
        <v>11</v>
      </c>
    </row>
    <row r="11" spans="1:8" ht="25.65" customHeight="1" x14ac:dyDescent="0.3">
      <c r="A11" s="35"/>
      <c r="B11" s="40" t="s">
        <v>25</v>
      </c>
      <c r="C11" s="41" t="s">
        <v>26</v>
      </c>
      <c r="D11" s="42" t="s">
        <v>27</v>
      </c>
      <c r="E11" s="42">
        <v>1</v>
      </c>
      <c r="F11" s="42">
        <v>1200</v>
      </c>
      <c r="G11" s="42">
        <f t="shared" si="0"/>
        <v>1200</v>
      </c>
      <c r="H11" s="43" t="s">
        <v>11</v>
      </c>
    </row>
    <row r="12" spans="1:8" ht="25.65" customHeight="1" x14ac:dyDescent="0.3">
      <c r="A12" s="35"/>
      <c r="B12" s="40" t="s">
        <v>28</v>
      </c>
      <c r="C12" s="41" t="s">
        <v>29</v>
      </c>
      <c r="D12" s="44" t="s">
        <v>30</v>
      </c>
      <c r="E12" s="42">
        <v>2</v>
      </c>
      <c r="F12" s="42">
        <v>10</v>
      </c>
      <c r="G12" s="42">
        <f t="shared" si="0"/>
        <v>20</v>
      </c>
      <c r="H12" s="43" t="s">
        <v>11</v>
      </c>
    </row>
    <row r="13" spans="1:8" ht="12" customHeight="1" x14ac:dyDescent="0.3">
      <c r="A13" s="35"/>
      <c r="B13" s="40"/>
      <c r="C13" s="41"/>
      <c r="D13" s="42"/>
      <c r="E13" s="42"/>
      <c r="F13" s="42"/>
      <c r="G13" s="42">
        <f t="shared" si="0"/>
        <v>0</v>
      </c>
      <c r="H13" s="43"/>
    </row>
    <row r="14" spans="1:8" ht="12" customHeight="1" x14ac:dyDescent="0.3">
      <c r="A14" s="35"/>
      <c r="B14" s="45"/>
      <c r="C14" s="46"/>
      <c r="D14" s="47"/>
      <c r="E14" s="47"/>
      <c r="F14" s="47"/>
      <c r="G14" s="47"/>
      <c r="H14" s="48"/>
    </row>
    <row r="15" spans="1:8" ht="12" customHeight="1" x14ac:dyDescent="0.3">
      <c r="A15" s="49"/>
      <c r="B15" s="50"/>
      <c r="C15" s="50"/>
      <c r="D15" s="51"/>
      <c r="E15" s="51"/>
      <c r="F15" s="51"/>
      <c r="G15" s="52"/>
      <c r="H15" s="52"/>
    </row>
    <row r="16" spans="1:8" ht="26.4" x14ac:dyDescent="0.3">
      <c r="A16" s="53" t="s">
        <v>31</v>
      </c>
      <c r="B16" s="10" t="s">
        <v>4</v>
      </c>
      <c r="C16" s="10" t="s">
        <v>5</v>
      </c>
      <c r="D16" s="10" t="s">
        <v>6</v>
      </c>
      <c r="E16" s="10" t="s">
        <v>7</v>
      </c>
      <c r="F16" s="10" t="s">
        <v>8</v>
      </c>
      <c r="G16" s="10" t="s">
        <v>9</v>
      </c>
      <c r="H16" s="10" t="s">
        <v>10</v>
      </c>
    </row>
    <row r="17" spans="1:8" ht="24" customHeight="1" x14ac:dyDescent="0.3">
      <c r="A17" s="35"/>
      <c r="B17" s="54" t="s">
        <v>19</v>
      </c>
      <c r="C17" s="54" t="s">
        <v>20</v>
      </c>
      <c r="D17" s="55" t="s">
        <v>32</v>
      </c>
      <c r="E17" s="55">
        <v>1</v>
      </c>
      <c r="F17" s="55">
        <v>100</v>
      </c>
      <c r="G17" s="55">
        <f t="shared" ref="G17:G19" si="1">E17*F17</f>
        <v>100</v>
      </c>
      <c r="H17" s="55" t="s">
        <v>11</v>
      </c>
    </row>
    <row r="18" spans="1:8" ht="24" customHeight="1" x14ac:dyDescent="0.3">
      <c r="A18" s="35"/>
      <c r="B18" s="41" t="s">
        <v>33</v>
      </c>
      <c r="C18" s="41" t="s">
        <v>23</v>
      </c>
      <c r="D18" s="42" t="s">
        <v>32</v>
      </c>
      <c r="E18" s="42">
        <v>1</v>
      </c>
      <c r="F18" s="42">
        <v>100</v>
      </c>
      <c r="G18" s="42">
        <f t="shared" si="1"/>
        <v>100</v>
      </c>
      <c r="H18" s="42" t="s">
        <v>11</v>
      </c>
    </row>
    <row r="19" spans="1:8" ht="24" customHeight="1" x14ac:dyDescent="0.3">
      <c r="A19" s="35"/>
      <c r="B19" s="56" t="s">
        <v>34</v>
      </c>
      <c r="C19" s="56" t="s">
        <v>29</v>
      </c>
      <c r="D19" s="57" t="s">
        <v>32</v>
      </c>
      <c r="E19" s="57">
        <v>2</v>
      </c>
      <c r="F19" s="57">
        <v>10</v>
      </c>
      <c r="G19" s="57">
        <f t="shared" si="1"/>
        <v>20</v>
      </c>
      <c r="H19" s="57" t="s">
        <v>11</v>
      </c>
    </row>
    <row r="20" spans="1:8" ht="12" customHeight="1" x14ac:dyDescent="0.3">
      <c r="A20" s="11"/>
      <c r="B20" s="6"/>
      <c r="C20" s="6"/>
      <c r="D20" s="131" t="s">
        <v>35</v>
      </c>
      <c r="E20" s="131"/>
      <c r="F20" s="131"/>
      <c r="G20" s="12">
        <f>SUM(G17:G19)</f>
        <v>220</v>
      </c>
      <c r="H20" s="12" t="s">
        <v>11</v>
      </c>
    </row>
    <row r="21" spans="1:8" ht="12" customHeight="1" x14ac:dyDescent="0.3">
      <c r="A21" s="11"/>
      <c r="B21" s="6"/>
      <c r="C21" s="6"/>
      <c r="D21" s="132" t="s">
        <v>36</v>
      </c>
      <c r="E21" s="132"/>
      <c r="F21" s="132"/>
      <c r="G21" s="14">
        <v>0.25</v>
      </c>
      <c r="H21" s="14"/>
    </row>
    <row r="22" spans="1:8" ht="12" customHeight="1" x14ac:dyDescent="0.3">
      <c r="A22" s="15"/>
      <c r="B22" s="6"/>
      <c r="C22" s="6"/>
      <c r="D22" s="131" t="s">
        <v>37</v>
      </c>
      <c r="E22" s="131"/>
      <c r="F22" s="131"/>
      <c r="G22" s="12">
        <f>G20*(1+G21)</f>
        <v>275</v>
      </c>
      <c r="H22" s="12" t="s">
        <v>11</v>
      </c>
    </row>
    <row r="23" spans="1:8" ht="12" customHeight="1" x14ac:dyDescent="0.3">
      <c r="A23" s="16"/>
      <c r="B23" s="17"/>
      <c r="C23" s="17"/>
      <c r="D23" s="8"/>
      <c r="E23" s="8"/>
      <c r="F23" s="8"/>
      <c r="G23" s="18"/>
      <c r="H23" s="18"/>
    </row>
    <row r="24" spans="1:8" ht="12" customHeight="1" x14ac:dyDescent="0.3">
      <c r="A24" s="19" t="s">
        <v>38</v>
      </c>
      <c r="B24" s="20" t="s">
        <v>39</v>
      </c>
      <c r="C24" s="20" t="s">
        <v>61</v>
      </c>
      <c r="D24" s="13" t="s">
        <v>40</v>
      </c>
      <c r="E24" s="13">
        <v>1</v>
      </c>
      <c r="F24" s="13">
        <v>1500</v>
      </c>
      <c r="G24" s="13">
        <v>1500</v>
      </c>
      <c r="H24" s="13" t="s">
        <v>11</v>
      </c>
    </row>
    <row r="25" spans="1:8" ht="12" customHeight="1" x14ac:dyDescent="0.3">
      <c r="A25" s="21"/>
      <c r="B25" s="136" t="s">
        <v>41</v>
      </c>
      <c r="C25" s="137"/>
      <c r="D25" s="137"/>
      <c r="E25" s="137"/>
      <c r="F25" s="137"/>
      <c r="G25" s="12">
        <f>G24-G22</f>
        <v>1225</v>
      </c>
      <c r="H25" s="12" t="s">
        <v>11</v>
      </c>
    </row>
    <row r="26" spans="1:8" ht="12" customHeight="1" x14ac:dyDescent="0.3">
      <c r="A26" s="21"/>
      <c r="B26" s="22"/>
      <c r="C26" s="5"/>
      <c r="D26" s="5"/>
      <c r="E26" s="5"/>
      <c r="F26" s="5"/>
      <c r="G26" s="8"/>
      <c r="H26" s="8"/>
    </row>
    <row r="27" spans="1:8" ht="39.6" x14ac:dyDescent="0.3">
      <c r="A27" s="58" t="s">
        <v>42</v>
      </c>
      <c r="B27" s="10" t="s">
        <v>4</v>
      </c>
      <c r="C27" s="10" t="s">
        <v>5</v>
      </c>
      <c r="D27" s="10" t="s">
        <v>12</v>
      </c>
      <c r="E27" s="10" t="s">
        <v>7</v>
      </c>
      <c r="F27" s="10" t="s">
        <v>13</v>
      </c>
      <c r="G27" s="10" t="s">
        <v>14</v>
      </c>
      <c r="H27" s="10" t="s">
        <v>10</v>
      </c>
    </row>
    <row r="28" spans="1:8" ht="24" customHeight="1" x14ac:dyDescent="0.3">
      <c r="A28" s="35"/>
      <c r="B28" s="54" t="s">
        <v>25</v>
      </c>
      <c r="C28" s="54" t="s">
        <v>26</v>
      </c>
      <c r="D28" s="55" t="s">
        <v>27</v>
      </c>
      <c r="E28" s="55">
        <v>1</v>
      </c>
      <c r="F28" s="55">
        <v>1200</v>
      </c>
      <c r="G28" s="55">
        <f t="shared" ref="G28:G30" si="2">E28*F28</f>
        <v>1200</v>
      </c>
      <c r="H28" s="55" t="s">
        <v>11</v>
      </c>
    </row>
    <row r="29" spans="1:8" ht="12" customHeight="1" x14ac:dyDescent="0.3">
      <c r="A29" s="35"/>
      <c r="B29" s="41"/>
      <c r="C29" s="41"/>
      <c r="D29" s="42"/>
      <c r="E29" s="42"/>
      <c r="F29" s="42"/>
      <c r="G29" s="42">
        <f t="shared" si="2"/>
        <v>0</v>
      </c>
      <c r="H29" s="42" t="s">
        <v>11</v>
      </c>
    </row>
    <row r="30" spans="1:8" ht="12" customHeight="1" x14ac:dyDescent="0.3">
      <c r="A30" s="35"/>
      <c r="B30" s="56"/>
      <c r="C30" s="56"/>
      <c r="D30" s="57"/>
      <c r="E30" s="57"/>
      <c r="F30" s="57"/>
      <c r="G30" s="57">
        <f t="shared" si="2"/>
        <v>0</v>
      </c>
      <c r="H30" s="57" t="s">
        <v>11</v>
      </c>
    </row>
    <row r="31" spans="1:8" ht="12" customHeight="1" x14ac:dyDescent="0.3">
      <c r="A31" s="35"/>
      <c r="B31" s="33"/>
      <c r="C31" s="33"/>
      <c r="D31" s="133" t="s">
        <v>35</v>
      </c>
      <c r="E31" s="133"/>
      <c r="F31" s="133"/>
      <c r="G31" s="55">
        <f>SUM(G28:G30)</f>
        <v>1200</v>
      </c>
      <c r="H31" s="55" t="s">
        <v>11</v>
      </c>
    </row>
    <row r="32" spans="1:8" ht="12" customHeight="1" x14ac:dyDescent="0.3">
      <c r="A32" s="35"/>
      <c r="B32" s="33"/>
      <c r="C32" s="33"/>
      <c r="D32" s="134" t="s">
        <v>36</v>
      </c>
      <c r="E32" s="134"/>
      <c r="F32" s="134"/>
      <c r="G32" s="59">
        <v>0.25</v>
      </c>
      <c r="H32" s="59"/>
    </row>
    <row r="33" spans="1:8" ht="12" customHeight="1" x14ac:dyDescent="0.3">
      <c r="A33" s="60"/>
      <c r="B33" s="33"/>
      <c r="C33" s="33"/>
      <c r="D33" s="133" t="s">
        <v>43</v>
      </c>
      <c r="E33" s="133"/>
      <c r="F33" s="133"/>
      <c r="G33" s="55">
        <f>G31*(1+G32)</f>
        <v>1500</v>
      </c>
      <c r="H33" s="55" t="s">
        <v>11</v>
      </c>
    </row>
    <row r="34" spans="1:8" ht="12" customHeight="1" x14ac:dyDescent="0.3">
      <c r="A34" s="61"/>
      <c r="B34" s="62"/>
      <c r="C34" s="62"/>
      <c r="D34" s="63"/>
      <c r="E34" s="63"/>
      <c r="F34" s="63"/>
      <c r="G34" s="64"/>
      <c r="H34" s="64"/>
    </row>
    <row r="35" spans="1:8" ht="12" customHeight="1" x14ac:dyDescent="0.3">
      <c r="A35" s="19" t="s">
        <v>38</v>
      </c>
      <c r="B35" s="65" t="s">
        <v>44</v>
      </c>
      <c r="C35" s="65" t="s">
        <v>61</v>
      </c>
      <c r="D35" s="57" t="s">
        <v>40</v>
      </c>
      <c r="E35" s="57">
        <v>1</v>
      </c>
      <c r="F35" s="57">
        <v>1500</v>
      </c>
      <c r="G35" s="57">
        <v>1500</v>
      </c>
      <c r="H35" s="57" t="s">
        <v>11</v>
      </c>
    </row>
    <row r="36" spans="1:8" ht="12" customHeight="1" x14ac:dyDescent="0.3">
      <c r="A36" s="66"/>
      <c r="B36" s="135" t="s">
        <v>45</v>
      </c>
      <c r="C36" s="135"/>
      <c r="D36" s="135"/>
      <c r="E36" s="135"/>
      <c r="F36" s="135"/>
      <c r="G36" s="55">
        <f>G35-G33</f>
        <v>0</v>
      </c>
      <c r="H36" s="55" t="s">
        <v>11</v>
      </c>
    </row>
    <row r="37" spans="1:8" ht="12" customHeight="1" x14ac:dyDescent="0.3">
      <c r="A37" s="67"/>
      <c r="B37" s="68"/>
      <c r="C37" s="69"/>
      <c r="D37" s="69"/>
      <c r="E37" s="69"/>
      <c r="F37" s="69"/>
      <c r="G37" s="70"/>
      <c r="H37" s="70"/>
    </row>
    <row r="38" spans="1:8" ht="30.45" customHeight="1" x14ac:dyDescent="0.3">
      <c r="A38" s="58" t="s">
        <v>46</v>
      </c>
      <c r="B38" s="10" t="s">
        <v>4</v>
      </c>
      <c r="C38" s="10" t="s">
        <v>5</v>
      </c>
      <c r="D38" s="10" t="s">
        <v>12</v>
      </c>
      <c r="E38" s="10" t="s">
        <v>7</v>
      </c>
      <c r="F38" s="10" t="s">
        <v>13</v>
      </c>
      <c r="G38" s="10" t="s">
        <v>14</v>
      </c>
      <c r="H38" s="10" t="s">
        <v>10</v>
      </c>
    </row>
    <row r="39" spans="1:8" ht="30.45" customHeight="1" x14ac:dyDescent="0.3">
      <c r="A39" s="35"/>
      <c r="B39" s="54" t="s">
        <v>47</v>
      </c>
      <c r="C39" s="54"/>
      <c r="D39" s="55"/>
      <c r="E39" s="55"/>
      <c r="F39" s="55"/>
      <c r="G39" s="55">
        <v>0</v>
      </c>
      <c r="H39" s="55" t="s">
        <v>11</v>
      </c>
    </row>
    <row r="40" spans="1:8" ht="12" customHeight="1" x14ac:dyDescent="0.3">
      <c r="A40" s="16"/>
      <c r="B40" s="6"/>
      <c r="C40" s="23"/>
      <c r="D40" s="8"/>
      <c r="E40" s="8"/>
      <c r="F40" s="8"/>
      <c r="G40" s="24"/>
      <c r="H40" s="7"/>
    </row>
    <row r="41" spans="1:8" s="3" customFormat="1" ht="12" customHeight="1" thickBot="1" x14ac:dyDescent="0.35">
      <c r="A41" s="26"/>
      <c r="B41" s="26"/>
      <c r="C41" s="26"/>
      <c r="D41" s="26"/>
      <c r="E41" s="26"/>
      <c r="F41" s="27"/>
      <c r="G41" s="28"/>
      <c r="H41" s="29"/>
    </row>
    <row r="42" spans="1:8" ht="39.6" x14ac:dyDescent="0.3">
      <c r="A42" s="71" t="s">
        <v>48</v>
      </c>
      <c r="B42" s="30" t="s">
        <v>4</v>
      </c>
      <c r="C42" s="30" t="s">
        <v>5</v>
      </c>
      <c r="D42" s="30" t="s">
        <v>12</v>
      </c>
      <c r="E42" s="30" t="s">
        <v>15</v>
      </c>
      <c r="F42" s="30" t="s">
        <v>13</v>
      </c>
      <c r="G42" s="30" t="s">
        <v>14</v>
      </c>
      <c r="H42" s="72" t="s">
        <v>10</v>
      </c>
    </row>
    <row r="43" spans="1:8" ht="27.15" customHeight="1" x14ac:dyDescent="0.3">
      <c r="A43" s="73" t="s">
        <v>49</v>
      </c>
      <c r="B43" s="74" t="s">
        <v>50</v>
      </c>
      <c r="C43" s="55" t="s">
        <v>62</v>
      </c>
      <c r="D43" s="55" t="s">
        <v>51</v>
      </c>
      <c r="E43" s="55" t="s">
        <v>52</v>
      </c>
      <c r="F43" s="55">
        <v>2000</v>
      </c>
      <c r="G43" s="55">
        <v>2000</v>
      </c>
      <c r="H43" s="75" t="s">
        <v>11</v>
      </c>
    </row>
    <row r="44" spans="1:8" ht="27.15" customHeight="1" x14ac:dyDescent="0.3">
      <c r="A44" s="76"/>
      <c r="B44" s="77"/>
      <c r="C44" s="77"/>
      <c r="D44" s="42"/>
      <c r="E44" s="42"/>
      <c r="F44" s="42"/>
      <c r="G44" s="42"/>
      <c r="H44" s="43"/>
    </row>
    <row r="45" spans="1:8" ht="27.15" customHeight="1" x14ac:dyDescent="0.3">
      <c r="A45" s="121" t="s">
        <v>53</v>
      </c>
      <c r="B45" s="77" t="s">
        <v>39</v>
      </c>
      <c r="C45" s="77" t="s">
        <v>61</v>
      </c>
      <c r="D45" s="42" t="s">
        <v>54</v>
      </c>
      <c r="E45" s="42">
        <v>1</v>
      </c>
      <c r="F45" s="42">
        <v>275</v>
      </c>
      <c r="G45" s="42">
        <f t="shared" ref="G45:G47" si="3">E45*F45</f>
        <v>275</v>
      </c>
      <c r="H45" s="43" t="s">
        <v>11</v>
      </c>
    </row>
    <row r="46" spans="1:8" ht="27.15" customHeight="1" x14ac:dyDescent="0.3">
      <c r="A46" s="122"/>
      <c r="B46" s="77" t="s">
        <v>44</v>
      </c>
      <c r="C46" s="77" t="s">
        <v>61</v>
      </c>
      <c r="D46" s="42" t="s">
        <v>54</v>
      </c>
      <c r="E46" s="42">
        <v>1</v>
      </c>
      <c r="F46" s="42">
        <v>1500</v>
      </c>
      <c r="G46" s="42">
        <f t="shared" si="3"/>
        <v>1500</v>
      </c>
      <c r="H46" s="43" t="s">
        <v>11</v>
      </c>
    </row>
    <row r="47" spans="1:8" x14ac:dyDescent="0.3">
      <c r="A47" s="123"/>
      <c r="B47" s="25"/>
      <c r="C47" s="25"/>
      <c r="D47" s="78"/>
      <c r="E47" s="78"/>
      <c r="F47" s="78"/>
      <c r="G47" s="78">
        <f t="shared" si="3"/>
        <v>0</v>
      </c>
      <c r="H47" s="79"/>
    </row>
    <row r="48" spans="1:8" ht="12" customHeight="1" x14ac:dyDescent="0.3">
      <c r="A48" s="128" t="s">
        <v>55</v>
      </c>
      <c r="B48" s="129"/>
      <c r="C48" s="129"/>
      <c r="D48" s="129"/>
      <c r="E48" s="129"/>
      <c r="F48" s="130"/>
      <c r="G48" s="80">
        <f>G43-SUM(G45:G47)</f>
        <v>225</v>
      </c>
      <c r="H48" s="81" t="s">
        <v>11</v>
      </c>
    </row>
    <row r="49" spans="1:10" ht="12" customHeight="1" x14ac:dyDescent="0.3">
      <c r="A49" s="82"/>
      <c r="B49" s="51"/>
      <c r="C49" s="51"/>
      <c r="D49" s="51"/>
      <c r="E49" s="51"/>
      <c r="F49" s="51"/>
      <c r="G49" s="83"/>
      <c r="H49" s="83"/>
      <c r="I49" s="3"/>
    </row>
    <row r="50" spans="1:10" ht="24" customHeight="1" x14ac:dyDescent="0.3">
      <c r="A50" s="105" t="s">
        <v>56</v>
      </c>
      <c r="B50" s="106"/>
      <c r="C50" s="106"/>
      <c r="D50" s="106"/>
      <c r="E50" s="106"/>
      <c r="F50" s="106"/>
      <c r="G50" s="106"/>
      <c r="H50" s="107"/>
    </row>
    <row r="51" spans="1:10" ht="24" customHeight="1" x14ac:dyDescent="0.3">
      <c r="A51" s="108" t="s">
        <v>57</v>
      </c>
      <c r="B51" s="109"/>
      <c r="C51" s="110"/>
      <c r="D51" s="110"/>
      <c r="E51" s="110"/>
      <c r="F51" s="110"/>
      <c r="G51" s="110"/>
      <c r="H51" s="111"/>
      <c r="J51" s="3"/>
    </row>
    <row r="52" spans="1:10" ht="12" customHeight="1" thickBot="1" x14ac:dyDescent="0.35">
      <c r="A52" s="15"/>
      <c r="B52" s="6"/>
      <c r="C52" s="6"/>
      <c r="D52" s="5"/>
      <c r="E52" s="8"/>
      <c r="F52" s="8"/>
      <c r="G52" s="8"/>
      <c r="H52" s="8"/>
    </row>
    <row r="53" spans="1:10" ht="24" customHeight="1" x14ac:dyDescent="0.3">
      <c r="A53" s="124" t="s">
        <v>58</v>
      </c>
      <c r="B53" s="125"/>
      <c r="C53" s="125"/>
      <c r="D53" s="125"/>
      <c r="E53" s="125"/>
      <c r="F53" s="125"/>
      <c r="G53" s="84"/>
      <c r="H53" s="85"/>
      <c r="I53" s="3"/>
    </row>
    <row r="54" spans="1:10" ht="24" customHeight="1" x14ac:dyDescent="0.3">
      <c r="A54" s="86" t="s">
        <v>63</v>
      </c>
      <c r="B54" s="87"/>
      <c r="C54" s="87"/>
      <c r="D54" s="88"/>
      <c r="E54" s="88"/>
      <c r="F54" s="88"/>
      <c r="G54" s="88"/>
      <c r="H54" s="89"/>
    </row>
    <row r="55" spans="1:10" ht="24" customHeight="1" x14ac:dyDescent="0.3">
      <c r="A55" s="90"/>
      <c r="B55" s="91"/>
      <c r="C55" s="91"/>
      <c r="D55" s="92"/>
      <c r="E55" s="92"/>
      <c r="F55" s="92"/>
      <c r="G55" s="92"/>
      <c r="H55" s="93"/>
    </row>
    <row r="56" spans="1:10" ht="24" customHeight="1" x14ac:dyDescent="0.3">
      <c r="A56" s="94"/>
      <c r="B56" s="95"/>
      <c r="C56" s="95"/>
      <c r="D56" s="96"/>
      <c r="E56" s="96"/>
      <c r="F56" s="97"/>
      <c r="G56" s="98"/>
      <c r="H56" s="99"/>
    </row>
    <row r="57" spans="1:10" ht="12" customHeight="1" x14ac:dyDescent="0.3">
      <c r="A57" s="6"/>
      <c r="B57" s="6"/>
      <c r="C57" s="6"/>
      <c r="D57" s="8"/>
      <c r="E57" s="8"/>
      <c r="F57" s="29"/>
      <c r="G57" s="8"/>
      <c r="H57" s="8"/>
    </row>
    <row r="58" spans="1:10" ht="12" customHeight="1" x14ac:dyDescent="0.3">
      <c r="A58" s="126" t="s">
        <v>67</v>
      </c>
      <c r="B58" s="127"/>
      <c r="C58" s="127"/>
      <c r="D58" s="127"/>
      <c r="E58" s="127"/>
      <c r="F58" s="127"/>
      <c r="G58" s="31"/>
      <c r="H58" s="32"/>
    </row>
    <row r="59" spans="1:10" ht="25.65" customHeight="1" x14ac:dyDescent="0.3">
      <c r="A59" s="116" t="s">
        <v>64</v>
      </c>
      <c r="B59" s="117"/>
      <c r="C59" s="117"/>
      <c r="D59" s="117"/>
      <c r="E59" s="117"/>
      <c r="F59" s="117"/>
      <c r="G59" s="117"/>
      <c r="H59" s="118"/>
    </row>
    <row r="60" spans="1:10" ht="25.65" customHeight="1" x14ac:dyDescent="0.3">
      <c r="A60" s="119" t="s">
        <v>65</v>
      </c>
      <c r="B60" s="95"/>
      <c r="C60" s="95"/>
      <c r="D60" s="95"/>
      <c r="E60" s="95"/>
      <c r="F60" s="95"/>
      <c r="G60" s="95"/>
      <c r="H60" s="120"/>
    </row>
    <row r="61" spans="1:10" ht="25.65" customHeight="1" x14ac:dyDescent="0.3">
      <c r="A61" s="112" t="s">
        <v>66</v>
      </c>
      <c r="B61" s="113"/>
      <c r="C61" s="113"/>
      <c r="D61" s="113"/>
      <c r="E61" s="113"/>
      <c r="F61" s="114"/>
      <c r="G61" s="114"/>
      <c r="H61" s="115"/>
    </row>
  </sheetData>
  <mergeCells count="20">
    <mergeCell ref="A61:H61"/>
    <mergeCell ref="A59:H59"/>
    <mergeCell ref="A60:H60"/>
    <mergeCell ref="A45:A47"/>
    <mergeCell ref="A53:F53"/>
    <mergeCell ref="A58:F58"/>
    <mergeCell ref="A48:F48"/>
    <mergeCell ref="A54:H56"/>
    <mergeCell ref="A1:H1"/>
    <mergeCell ref="A7:H7"/>
    <mergeCell ref="A50:H50"/>
    <mergeCell ref="A51:H51"/>
    <mergeCell ref="D20:F20"/>
    <mergeCell ref="D21:F21"/>
    <mergeCell ref="D22:F22"/>
    <mergeCell ref="D31:F31"/>
    <mergeCell ref="D32:F32"/>
    <mergeCell ref="B36:F36"/>
    <mergeCell ref="B25:F25"/>
    <mergeCell ref="D33:F33"/>
  </mergeCells>
  <conditionalFormatting sqref="G25:G26 G37">
    <cfRule type="cellIs" dxfId="2" priority="1" operator="lessThan">
      <formula>0</formula>
    </cfRule>
  </conditionalFormatting>
  <conditionalFormatting sqref="G36">
    <cfRule type="cellIs" dxfId="1" priority="3" operator="lessThanOrEqual">
      <formula>0</formula>
    </cfRule>
  </conditionalFormatting>
  <conditionalFormatting sqref="G48"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AKSHAN BHELKAR</cp:lastModifiedBy>
  <cp:lastPrinted>2026-10-29T15:46:31Z</cp:lastPrinted>
  <dcterms:modified xsi:type="dcterms:W3CDTF">2026-10-29T15:46:57Z</dcterms:modified>
</cp:coreProperties>
</file>